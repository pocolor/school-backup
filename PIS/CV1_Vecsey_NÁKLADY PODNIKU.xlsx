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<sst xmlns="http://schemas.openxmlformats.org/spreadsheetml/2006/main" count="62" uniqueCount="41">
  <si>
    <t xml:space="preserve">Ze zadani</t>
  </si>
  <si>
    <t xml:space="preserve">Odpovedi na otazky spocitane na:</t>
  </si>
  <si>
    <t xml:space="preserve">den</t>
  </si>
  <si>
    <t xml:space="preserve">mesic</t>
  </si>
  <si>
    <t xml:space="preserve">pracovni den hodin</t>
  </si>
  <si>
    <t xml:space="preserve">celkove naklady</t>
  </si>
  <si>
    <t xml:space="preserve">vetrniku za pracovni den</t>
  </si>
  <si>
    <t xml:space="preserve">celkove vynosy</t>
  </si>
  <si>
    <t xml:space="preserve">cena surovin za 300 vetrniku</t>
  </si>
  <si>
    <t xml:space="preserve">ucetni zisk</t>
  </si>
  <si>
    <t xml:space="preserve">ucet za energii za mesic</t>
  </si>
  <si>
    <t xml:space="preserve">implicitni naklady</t>
  </si>
  <si>
    <t xml:space="preserve">pronajem provozovny za mesic</t>
  </si>
  <si>
    <t xml:space="preserve">ekonomicky zisk</t>
  </si>
  <si>
    <t xml:space="preserve">pracovnich dnu v mesici</t>
  </si>
  <si>
    <t xml:space="preserve">vyplati se podnikat</t>
  </si>
  <si>
    <t xml:space="preserve">ano</t>
  </si>
  <si>
    <t xml:space="preserve">hodinova mzda v jine cukrarne</t>
  </si>
  <si>
    <t xml:space="preserve">vetrnik prodavam za</t>
  </si>
  <si>
    <t xml:space="preserve">s brigadnikem vetrniku za den</t>
  </si>
  <si>
    <t xml:space="preserve">Odpovedi na otazky s brigadnikem spocitane na:</t>
  </si>
  <si>
    <t xml:space="preserve">Den + zbytek mesice sam</t>
  </si>
  <si>
    <t xml:space="preserve">denni mzda brigadnika</t>
  </si>
  <si>
    <t xml:space="preserve">Prepocteno na:</t>
  </si>
  <si>
    <t xml:space="preserve">vetrnik</t>
  </si>
  <si>
    <t xml:space="preserve">cena surovin</t>
  </si>
  <si>
    <t xml:space="preserve">cena produktu</t>
  </si>
  <si>
    <t xml:space="preserve">o kolik % se zvýšil ekonomický zisk</t>
  </si>
  <si>
    <t xml:space="preserve">pocet vyrobenych vetrniku</t>
  </si>
  <si>
    <t xml:space="preserve">Legenda k otazce 8</t>
  </si>
  <si>
    <t xml:space="preserve">cena surovin vyrobenych vetrniku</t>
  </si>
  <si>
    <t xml:space="preserve">Fixní náklady</t>
  </si>
  <si>
    <t xml:space="preserve">cena vyrobenych vetrniku</t>
  </si>
  <si>
    <t xml:space="preserve">Variabilní náklady</t>
  </si>
  <si>
    <t xml:space="preserve">ucet za energii</t>
  </si>
  <si>
    <t xml:space="preserve">pronajem provozovny</t>
  </si>
  <si>
    <t xml:space="preserve">mzda v jine cukrarne</t>
  </si>
  <si>
    <t xml:space="preserve">poznamky</t>
  </si>
  <si>
    <t xml:space="preserve">mzda v jine cukrarne je oznacena jako fixni naklad, protoze to je implicitni naklad</t>
  </si>
  <si>
    <t xml:space="preserve">ucet za energii je oznaceny jako fixni naklad, protoze zadani je pevne dana castka na mesic</t>
  </si>
  <si>
    <t xml:space="preserve">S brigadnikem prepocteno na: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</si>
</sst>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\ [$Kč-405];[RED]\-#,##0.00\ [$Kč-405]"/>
    <numFmt numFmtId="166" formatCode="0.00%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color rgb="FFFF0000"/>
      <name val="Arial"/>
      <family val="2"/>
    </font>
    <font>
      <i val="true"/>
      <sz val="10"/>
      <color rgb="FF2A609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A933"/>
        <bgColor rgb="FF008000"/>
      </patternFill>
    </fill>
    <fill>
      <patternFill patternType="solid">
        <fgColor rgb="FFEEEEEE"/>
        <bgColor rgb="FFFFF5CE"/>
      </patternFill>
    </fill>
    <fill>
      <patternFill patternType="solid">
        <fgColor rgb="FFDDE8CB"/>
        <bgColor rgb="FFDDDDDD"/>
      </patternFill>
    </fill>
    <fill>
      <patternFill patternType="solid">
        <fgColor rgb="FFDDDDDD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FFFF00"/>
        <bgColor rgb="FFFFFF00"/>
      </patternFill>
    </fill>
    <fill>
      <patternFill patternType="solid">
        <fgColor rgb="FFFFFFD7"/>
        <bgColor rgb="FFFFF5CE"/>
      </patternFill>
    </fill>
    <fill>
      <patternFill patternType="solid">
        <fgColor rgb="FFFFFFA6"/>
        <bgColor rgb="FFFFF5CE"/>
      </patternFill>
    </fill>
    <fill>
      <patternFill patternType="solid">
        <fgColor rgb="FFFFBF00"/>
        <bgColor rgb="FFFFB66C"/>
      </patternFill>
    </fill>
    <fill>
      <patternFill patternType="solid">
        <fgColor rgb="FFFFF5CE"/>
        <bgColor rgb="FFFFFFD7"/>
      </patternFill>
    </fill>
    <fill>
      <patternFill patternType="solid">
        <fgColor rgb="FFFFE994"/>
        <bgColor rgb="FFFFDBB6"/>
      </patternFill>
    </fill>
    <fill>
      <patternFill patternType="solid">
        <fgColor rgb="FF2A6099"/>
        <bgColor rgb="FF666699"/>
      </patternFill>
    </fill>
    <fill>
      <patternFill patternType="solid">
        <fgColor rgb="FFFF8000"/>
        <bgColor rgb="FFFF6600"/>
      </patternFill>
    </fill>
    <fill>
      <patternFill patternType="solid">
        <fgColor rgb="FFFFDBB6"/>
        <bgColor rgb="FFFFE994"/>
      </patternFill>
    </fill>
    <fill>
      <patternFill patternType="solid">
        <fgColor rgb="FFFFB66C"/>
        <bgColor rgb="FFFFB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D7"/>
      <rgbColor rgb="FFFFF5CE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994"/>
      <rgbColor rgb="FFDDE8CB"/>
      <rgbColor rgb="FFFFFFA6"/>
      <rgbColor rgb="FF99CCFF"/>
      <rgbColor rgb="FFFFB66C"/>
      <rgbColor rgb="FFCC99FF"/>
      <rgbColor rgb="FFFFDBB6"/>
      <rgbColor rgb="FF3366FF"/>
      <rgbColor rgb="FF33CCCC"/>
      <rgbColor rgb="FF99CC00"/>
      <rgbColor rgb="FFFFBF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8.66"/>
    <col collapsed="false" customWidth="true" hidden="false" outlineLevel="0" max="4" min="4" style="0" width="15.16"/>
    <col collapsed="false" customWidth="true" hidden="false" outlineLevel="0" max="5" min="5" style="0" width="24.9"/>
    <col collapsed="false" customWidth="true" hidden="false" outlineLevel="0" max="8" min="8" style="0" width="4.73"/>
    <col collapsed="false" customWidth="true" hidden="false" outlineLevel="0" max="9" min="9" style="0" width="39.51"/>
    <col collapsed="false" customWidth="true" hidden="false" outlineLevel="0" max="10" min="10" style="0" width="12.38"/>
    <col collapsed="false" customWidth="true" hidden="false" outlineLevel="0" max="11" min="11" style="0" width="15.85"/>
    <col collapsed="false" customWidth="true" hidden="false" outlineLevel="0" max="12" min="12" style="0" width="25.59"/>
  </cols>
  <sheetData>
    <row r="3" customFormat="false" ht="12.8" hidden="false" customHeight="false" outlineLevel="0" collapsed="false">
      <c r="B3" s="1" t="s">
        <v>0</v>
      </c>
      <c r="C3" s="1"/>
      <c r="H3" s="2" t="s">
        <v>1</v>
      </c>
      <c r="I3" s="2"/>
      <c r="J3" s="3" t="s">
        <v>2</v>
      </c>
      <c r="K3" s="3" t="s">
        <v>3</v>
      </c>
    </row>
    <row r="4" customFormat="false" ht="12.8" hidden="false" customHeight="false" outlineLevel="0" collapsed="false">
      <c r="B4" s="4" t="s">
        <v>4</v>
      </c>
      <c r="C4" s="4" t="n">
        <v>8</v>
      </c>
      <c r="H4" s="5" t="n">
        <v>1</v>
      </c>
      <c r="I4" s="6" t="s">
        <v>5</v>
      </c>
      <c r="J4" s="7" t="n">
        <f aca="false">C23+C25+C26</f>
        <v>883.333333333333</v>
      </c>
      <c r="K4" s="7" t="n">
        <f aca="false">D23+D25+D26</f>
        <v>26500</v>
      </c>
    </row>
    <row r="5" customFormat="false" ht="12.8" hidden="false" customHeight="false" outlineLevel="0" collapsed="false">
      <c r="B5" s="8" t="s">
        <v>6</v>
      </c>
      <c r="C5" s="8" t="n">
        <v>300</v>
      </c>
      <c r="H5" s="9" t="n">
        <v>2</v>
      </c>
      <c r="I5" s="10" t="s">
        <v>7</v>
      </c>
      <c r="J5" s="11" t="n">
        <f aca="false">C24</f>
        <v>4500</v>
      </c>
      <c r="K5" s="11" t="n">
        <f aca="false">D24</f>
        <v>135000</v>
      </c>
    </row>
    <row r="6" customFormat="false" ht="12.8" hidden="false" customHeight="false" outlineLevel="0" collapsed="false">
      <c r="B6" s="12" t="s">
        <v>8</v>
      </c>
      <c r="C6" s="13" t="n">
        <v>600</v>
      </c>
      <c r="H6" s="5" t="n">
        <v>3</v>
      </c>
      <c r="I6" s="6" t="s">
        <v>9</v>
      </c>
      <c r="J6" s="7" t="n">
        <f aca="false">J5-J4</f>
        <v>3616.66666666667</v>
      </c>
      <c r="K6" s="7" t="n">
        <f aca="false">K5-K4</f>
        <v>108500</v>
      </c>
    </row>
    <row r="7" customFormat="false" ht="12.8" hidden="false" customHeight="false" outlineLevel="0" collapsed="false">
      <c r="B7" s="14" t="s">
        <v>10</v>
      </c>
      <c r="C7" s="15" t="n">
        <v>2500</v>
      </c>
      <c r="H7" s="9" t="n">
        <v>4</v>
      </c>
      <c r="I7" s="10" t="s">
        <v>11</v>
      </c>
      <c r="J7" s="11" t="n">
        <f aca="false">C27</f>
        <v>1200</v>
      </c>
      <c r="K7" s="11" t="n">
        <f aca="false">D27</f>
        <v>36000</v>
      </c>
    </row>
    <row r="8" customFormat="false" ht="12.8" hidden="false" customHeight="false" outlineLevel="0" collapsed="false">
      <c r="B8" s="16" t="s">
        <v>12</v>
      </c>
      <c r="C8" s="17" t="n">
        <v>6000</v>
      </c>
      <c r="H8" s="5" t="n">
        <v>5</v>
      </c>
      <c r="I8" s="6" t="s">
        <v>13</v>
      </c>
      <c r="J8" s="7" t="n">
        <f aca="false">J6-J7</f>
        <v>2416.66666666667</v>
      </c>
      <c r="K8" s="7" t="n">
        <f aca="false">K5-K4-K7</f>
        <v>72500</v>
      </c>
    </row>
    <row r="9" customFormat="false" ht="12.8" hidden="false" customHeight="false" outlineLevel="0" collapsed="false">
      <c r="B9" s="8" t="s">
        <v>14</v>
      </c>
      <c r="C9" s="8" t="n">
        <v>30</v>
      </c>
      <c r="H9" s="9" t="n">
        <v>6</v>
      </c>
      <c r="I9" s="10" t="s">
        <v>15</v>
      </c>
      <c r="J9" s="18" t="s">
        <v>16</v>
      </c>
      <c r="K9" s="9" t="str">
        <f aca="false">J9</f>
        <v>ano</v>
      </c>
    </row>
    <row r="10" customFormat="false" ht="12.8" hidden="false" customHeight="false" outlineLevel="0" collapsed="false">
      <c r="B10" s="16" t="s">
        <v>17</v>
      </c>
      <c r="C10" s="17" t="n">
        <v>150</v>
      </c>
    </row>
    <row r="11" customFormat="false" ht="12.8" hidden="false" customHeight="false" outlineLevel="0" collapsed="false">
      <c r="B11" s="8" t="s">
        <v>18</v>
      </c>
      <c r="C11" s="19" t="n">
        <v>15</v>
      </c>
      <c r="H11" s="20"/>
    </row>
    <row r="12" customFormat="false" ht="12.8" hidden="false" customHeight="false" outlineLevel="0" collapsed="false">
      <c r="B12" s="4" t="s">
        <v>19</v>
      </c>
      <c r="C12" s="21" t="n">
        <v>600</v>
      </c>
      <c r="H12" s="2" t="s">
        <v>20</v>
      </c>
      <c r="I12" s="2"/>
      <c r="J12" s="3" t="s">
        <v>2</v>
      </c>
      <c r="K12" s="3" t="s">
        <v>3</v>
      </c>
      <c r="L12" s="3" t="s">
        <v>21</v>
      </c>
    </row>
    <row r="13" customFormat="false" ht="12.8" hidden="false" customHeight="false" outlineLevel="0" collapsed="false">
      <c r="B13" s="14" t="s">
        <v>22</v>
      </c>
      <c r="C13" s="15" t="n">
        <v>1000</v>
      </c>
      <c r="H13" s="5" t="n">
        <v>7.1</v>
      </c>
      <c r="I13" s="6" t="s">
        <v>5</v>
      </c>
      <c r="J13" s="7" t="n">
        <f aca="false">C32+C34+C35</f>
        <v>1483.33333333333</v>
      </c>
      <c r="K13" s="7" t="n">
        <f aca="false">D32+D34+D35</f>
        <v>44500</v>
      </c>
      <c r="L13" s="7" t="n">
        <f aca="false">E32+E34+E35</f>
        <v>27100</v>
      </c>
    </row>
    <row r="14" customFormat="false" ht="12.8" hidden="false" customHeight="false" outlineLevel="0" collapsed="false">
      <c r="H14" s="9" t="n">
        <v>7.2</v>
      </c>
      <c r="I14" s="10" t="s">
        <v>7</v>
      </c>
      <c r="J14" s="11" t="n">
        <f aca="false">C33</f>
        <v>9000</v>
      </c>
      <c r="K14" s="11" t="n">
        <f aca="false">D33</f>
        <v>270000</v>
      </c>
      <c r="L14" s="11" t="n">
        <f aca="false">E33</f>
        <v>139500</v>
      </c>
    </row>
    <row r="15" customFormat="false" ht="12.8" hidden="false" customHeight="false" outlineLevel="0" collapsed="false">
      <c r="H15" s="5" t="n">
        <v>7.3</v>
      </c>
      <c r="I15" s="6" t="s">
        <v>9</v>
      </c>
      <c r="J15" s="7" t="n">
        <f aca="false">J14-J13</f>
        <v>7516.66666666667</v>
      </c>
      <c r="K15" s="7" t="n">
        <f aca="false">K14-K13</f>
        <v>225500</v>
      </c>
      <c r="L15" s="7" t="n">
        <f aca="false">L14-L13</f>
        <v>112400</v>
      </c>
    </row>
    <row r="16" customFormat="false" ht="12.8" hidden="false" customHeight="false" outlineLevel="0" collapsed="false">
      <c r="B16" s="22" t="s">
        <v>23</v>
      </c>
      <c r="C16" s="22" t="s">
        <v>24</v>
      </c>
      <c r="H16" s="9" t="n">
        <v>7.4</v>
      </c>
      <c r="I16" s="10" t="s">
        <v>11</v>
      </c>
      <c r="J16" s="11" t="n">
        <f aca="false">C36</f>
        <v>1200</v>
      </c>
      <c r="K16" s="11" t="n">
        <f aca="false">D36</f>
        <v>36000</v>
      </c>
      <c r="L16" s="11" t="n">
        <f aca="false">E36</f>
        <v>36000</v>
      </c>
    </row>
    <row r="17" customFormat="false" ht="12.8" hidden="false" customHeight="false" outlineLevel="0" collapsed="false">
      <c r="B17" s="23" t="s">
        <v>25</v>
      </c>
      <c r="C17" s="24" t="n">
        <f aca="false">C6/300</f>
        <v>2</v>
      </c>
      <c r="H17" s="5" t="n">
        <v>7.5</v>
      </c>
      <c r="I17" s="6" t="s">
        <v>13</v>
      </c>
      <c r="J17" s="7" t="n">
        <f aca="false">J15-J16</f>
        <v>6316.66666666667</v>
      </c>
      <c r="K17" s="7" t="n">
        <f aca="false">K14-K13-K16</f>
        <v>189500</v>
      </c>
      <c r="L17" s="7" t="n">
        <f aca="false">L14-L13-L16</f>
        <v>76400</v>
      </c>
    </row>
    <row r="18" customFormat="false" ht="12.8" hidden="false" customHeight="false" outlineLevel="0" collapsed="false">
      <c r="B18" s="25" t="s">
        <v>26</v>
      </c>
      <c r="C18" s="26" t="n">
        <f aca="false">C11</f>
        <v>15</v>
      </c>
      <c r="H18" s="9" t="n">
        <v>7.6</v>
      </c>
      <c r="I18" s="10" t="s">
        <v>15</v>
      </c>
      <c r="J18" s="18" t="s">
        <v>16</v>
      </c>
      <c r="K18" s="18" t="str">
        <f aca="false">J18</f>
        <v>ano</v>
      </c>
      <c r="L18" s="18" t="str">
        <f aca="false">K18</f>
        <v>ano</v>
      </c>
    </row>
    <row r="19" customFormat="false" ht="12.8" hidden="false" customHeight="false" outlineLevel="0" collapsed="false">
      <c r="H19" s="5" t="n">
        <v>9</v>
      </c>
      <c r="I19" s="6" t="s">
        <v>27</v>
      </c>
      <c r="J19" s="27" t="n">
        <f aca="false">J17/J8-1</f>
        <v>1.61379310344828</v>
      </c>
      <c r="K19" s="27" t="n">
        <f aca="false">K17/K8-1</f>
        <v>1.61379310344828</v>
      </c>
      <c r="L19" s="27" t="n">
        <f aca="false">L17/K8-1</f>
        <v>0.0537931034482759</v>
      </c>
    </row>
    <row r="21" customFormat="false" ht="12.8" hidden="false" customHeight="false" outlineLevel="0" collapsed="false">
      <c r="B21" s="28" t="s">
        <v>23</v>
      </c>
      <c r="C21" s="28" t="s">
        <v>2</v>
      </c>
      <c r="D21" s="28" t="s">
        <v>3</v>
      </c>
    </row>
    <row r="22" customFormat="false" ht="12.8" hidden="false" customHeight="false" outlineLevel="0" collapsed="false">
      <c r="B22" s="29" t="s">
        <v>28</v>
      </c>
      <c r="C22" s="29" t="n">
        <f aca="false">C5</f>
        <v>300</v>
      </c>
      <c r="D22" s="29" t="n">
        <f aca="false">C22*C$9</f>
        <v>9000</v>
      </c>
      <c r="H22" s="3" t="s">
        <v>29</v>
      </c>
      <c r="I22" s="3"/>
    </row>
    <row r="23" customFormat="false" ht="12.8" hidden="false" customHeight="false" outlineLevel="0" collapsed="false">
      <c r="B23" s="30" t="s">
        <v>30</v>
      </c>
      <c r="C23" s="31" t="n">
        <f aca="false">C17*C22</f>
        <v>600</v>
      </c>
      <c r="D23" s="31" t="n">
        <f aca="false">C23*C$9</f>
        <v>18000</v>
      </c>
      <c r="H23" s="32" t="n">
        <v>8</v>
      </c>
      <c r="I23" s="33" t="s">
        <v>31</v>
      </c>
    </row>
    <row r="24" customFormat="false" ht="12.8" hidden="false" customHeight="false" outlineLevel="0" collapsed="false">
      <c r="B24" s="29" t="s">
        <v>32</v>
      </c>
      <c r="C24" s="34" t="n">
        <f aca="false">C18*C22</f>
        <v>4500</v>
      </c>
      <c r="D24" s="34" t="n">
        <f aca="false">C24*C$9</f>
        <v>135000</v>
      </c>
      <c r="H24" s="32"/>
      <c r="I24" s="35" t="s">
        <v>33</v>
      </c>
    </row>
    <row r="25" customFormat="false" ht="12.8" hidden="false" customHeight="false" outlineLevel="0" collapsed="false">
      <c r="B25" s="36" t="s">
        <v>34</v>
      </c>
      <c r="C25" s="37" t="n">
        <f aca="false">C7/C9</f>
        <v>83.3333333333333</v>
      </c>
      <c r="D25" s="37" t="n">
        <f aca="false">C25*C$9</f>
        <v>2500</v>
      </c>
    </row>
    <row r="26" customFormat="false" ht="12.8" hidden="false" customHeight="false" outlineLevel="0" collapsed="false">
      <c r="B26" s="38" t="s">
        <v>35</v>
      </c>
      <c r="C26" s="39" t="n">
        <f aca="false">C8/C9</f>
        <v>200</v>
      </c>
      <c r="D26" s="39" t="n">
        <f aca="false">C26*C$9</f>
        <v>6000</v>
      </c>
    </row>
    <row r="27" customFormat="false" ht="12.8" hidden="false" customHeight="false" outlineLevel="0" collapsed="false">
      <c r="B27" s="36" t="s">
        <v>36</v>
      </c>
      <c r="C27" s="37" t="n">
        <f aca="false">C10*C4</f>
        <v>1200</v>
      </c>
      <c r="D27" s="37" t="n">
        <f aca="false">C27*C$9</f>
        <v>36000</v>
      </c>
      <c r="H27" s="40" t="s">
        <v>37</v>
      </c>
      <c r="I27" s="40"/>
      <c r="J27" s="40"/>
      <c r="K27" s="40"/>
      <c r="L27" s="40"/>
    </row>
    <row r="28" customFormat="false" ht="12.8" hidden="false" customHeight="false" outlineLevel="0" collapsed="false">
      <c r="H28" s="41" t="s">
        <v>38</v>
      </c>
      <c r="I28" s="41"/>
      <c r="J28" s="41"/>
      <c r="K28" s="41"/>
      <c r="L28" s="41"/>
    </row>
    <row r="29" customFormat="false" ht="12.8" hidden="false" customHeight="false" outlineLevel="0" collapsed="false">
      <c r="H29" s="42" t="s">
        <v>39</v>
      </c>
      <c r="I29" s="42"/>
      <c r="J29" s="42"/>
      <c r="K29" s="42"/>
      <c r="L29" s="42"/>
    </row>
    <row r="30" customFormat="false" ht="12.8" hidden="false" customHeight="false" outlineLevel="0" collapsed="false">
      <c r="B30" s="43" t="s">
        <v>40</v>
      </c>
      <c r="C30" s="43" t="s">
        <v>2</v>
      </c>
      <c r="D30" s="43" t="s">
        <v>3</v>
      </c>
      <c r="E30" s="43" t="s">
        <v>21</v>
      </c>
    </row>
    <row r="31" customFormat="false" ht="12.8" hidden="false" customHeight="false" outlineLevel="0" collapsed="false">
      <c r="B31" s="44" t="s">
        <v>28</v>
      </c>
      <c r="C31" s="44" t="n">
        <f aca="false">C12</f>
        <v>600</v>
      </c>
      <c r="D31" s="44" t="n">
        <f aca="false">$C31*$C$9</f>
        <v>18000</v>
      </c>
      <c r="E31" s="44" t="n">
        <f aca="false">D22-C22+C31</f>
        <v>9300</v>
      </c>
    </row>
    <row r="32" customFormat="false" ht="12.8" hidden="false" customHeight="false" outlineLevel="0" collapsed="false">
      <c r="B32" s="45" t="s">
        <v>30</v>
      </c>
      <c r="C32" s="46" t="n">
        <f aca="false">C31*C17</f>
        <v>1200</v>
      </c>
      <c r="D32" s="46" t="n">
        <f aca="false">$C32*$C$9</f>
        <v>36000</v>
      </c>
      <c r="E32" s="46" t="n">
        <f aca="false">D23-C23+C32</f>
        <v>18600</v>
      </c>
    </row>
    <row r="33" customFormat="false" ht="12.8" hidden="false" customHeight="false" outlineLevel="0" collapsed="false">
      <c r="B33" s="44" t="s">
        <v>32</v>
      </c>
      <c r="C33" s="47" t="n">
        <f aca="false">C31*C18</f>
        <v>9000</v>
      </c>
      <c r="D33" s="47" t="n">
        <f aca="false">$C33*$C$9</f>
        <v>270000</v>
      </c>
      <c r="E33" s="47" t="n">
        <f aca="false">D24-C24+C33</f>
        <v>139500</v>
      </c>
    </row>
    <row r="34" customFormat="false" ht="12.8" hidden="false" customHeight="false" outlineLevel="0" collapsed="false">
      <c r="B34" s="48" t="s">
        <v>34</v>
      </c>
      <c r="C34" s="49" t="n">
        <f aca="false">C25</f>
        <v>83.3333333333333</v>
      </c>
      <c r="D34" s="49" t="n">
        <f aca="false">$C34*$C$9</f>
        <v>2500</v>
      </c>
      <c r="E34" s="49" t="n">
        <f aca="false">D25-C25+C34</f>
        <v>2500</v>
      </c>
    </row>
    <row r="35" customFormat="false" ht="12.8" hidden="false" customHeight="false" outlineLevel="0" collapsed="false">
      <c r="B35" s="50" t="s">
        <v>35</v>
      </c>
      <c r="C35" s="51" t="n">
        <f aca="false">C26</f>
        <v>200</v>
      </c>
      <c r="D35" s="51" t="n">
        <f aca="false">$C35*$C$9</f>
        <v>6000</v>
      </c>
      <c r="E35" s="51" t="n">
        <f aca="false">D26-C26+C35</f>
        <v>6000</v>
      </c>
    </row>
    <row r="36" customFormat="false" ht="12.8" hidden="false" customHeight="false" outlineLevel="0" collapsed="false">
      <c r="B36" s="48" t="s">
        <v>36</v>
      </c>
      <c r="C36" s="49" t="n">
        <f aca="false">C27</f>
        <v>1200</v>
      </c>
      <c r="D36" s="49" t="n">
        <f aca="false">$C36*$C$9</f>
        <v>36000</v>
      </c>
      <c r="E36" s="49" t="n">
        <f aca="false">D27-C27+C36</f>
        <v>36000</v>
      </c>
    </row>
  </sheetData>
  <mergeCells count="8">
    <mergeCell ref="B3:C3"/>
    <mergeCell ref="H3:I3"/>
    <mergeCell ref="H12:I12"/>
    <mergeCell ref="H22:I22"/>
    <mergeCell ref="H23:H24"/>
    <mergeCell ref="H27:L27"/>
    <mergeCell ref="H28:L28"/>
    <mergeCell ref="H29:L2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2026-09-06T05:56:06Z</dcterms:created>
  <dc:creator/>
  <dc:description/>
  <dc:language>en-US</dc:language>
  <cp:lastModifiedBy/>
  <dcterms:modified xsi:type="dcterms:W3CDTF">2026-09-06T09:59:33Z</dcterms:modified>
  <cp:revision>102</cp:revision>
  <dc:subject/>
  <dc:title/>
</cp:coreProperties>
</file>